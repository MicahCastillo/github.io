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c0840756\Desktop\"/>
    </mc:Choice>
  </mc:AlternateContent>
  <bookViews>
    <workbookView xWindow="360" yWindow="75" windowWidth="13305" windowHeight="8580"/>
  </bookViews>
  <sheets>
    <sheet name="401(k) Investment Model" sheetId="1" r:id="rId1"/>
  </sheets>
  <definedNames>
    <definedName name="Annual_Return">'401(k) Investment Model'!$D$9</definedName>
    <definedName name="Annual_Salary">'401(k) Investment Model'!$D$6</definedName>
    <definedName name="Employee_Investment">'401(k) Investment Model'!$D$7</definedName>
    <definedName name="Employee_Name">'401(k) Investment Model'!$D$5</definedName>
    <definedName name="Employer_Match">'401(k) Investment Model'!$D$8</definedName>
    <definedName name="Total">'401(k) Investment Model'!$F$8</definedName>
    <definedName name="Years_of_Service">'401(k) Investment Model'!$D$10</definedName>
  </definedNames>
  <calcPr calcId="162913"/>
</workbook>
</file>

<file path=xl/calcChain.xml><?xml version="1.0" encoding="utf-8"?>
<calcChain xmlns="http://schemas.openxmlformats.org/spreadsheetml/2006/main">
  <c r="F6" i="1" l="1"/>
  <c r="D15" i="1" s="1"/>
  <c r="F7" i="1"/>
  <c r="E15" i="1" s="1"/>
  <c r="F8" i="1" l="1"/>
  <c r="F10" i="1" s="1"/>
  <c r="C15" i="1" s="1"/>
  <c r="F15" i="1" s="1"/>
</calcChain>
</file>

<file path=xl/sharedStrings.xml><?xml version="1.0" encoding="utf-8"?>
<sst xmlns="http://schemas.openxmlformats.org/spreadsheetml/2006/main" count="20" uniqueCount="18">
  <si>
    <t>Annual Salary</t>
  </si>
  <si>
    <t>Employer Match</t>
  </si>
  <si>
    <t>Years of Service</t>
  </si>
  <si>
    <t>Monthly Contribution</t>
  </si>
  <si>
    <t>Future Value</t>
  </si>
  <si>
    <t>Return on Investment</t>
  </si>
  <si>
    <t>Investment Results</t>
  </si>
  <si>
    <t>Employer</t>
  </si>
  <si>
    <t>Total</t>
  </si>
  <si>
    <t>Employer Match %</t>
  </si>
  <si>
    <t>Expected Annual Return</t>
  </si>
  <si>
    <t>Caliber Steel</t>
  </si>
  <si>
    <t>401(k) Investment Model</t>
  </si>
  <si>
    <t>Employee Name</t>
  </si>
  <si>
    <t>Employee Investment %</t>
  </si>
  <si>
    <t>Employee</t>
  </si>
  <si>
    <t>Employee Investment</t>
  </si>
  <si>
    <t>Edward Munoz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</si>
</sst>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8" x14ac:knownFonts="1">
    <font>
      <sz val="10"/>
      <name val="Arial"/>
    </font>
    <font>
      <sz val="10"/>
      <color indexed="10"/>
      <name val="Gill Sans MT"/>
      <family val="2"/>
      <scheme val="minor"/>
    </font>
    <font>
      <sz val="10"/>
      <name val="Gill Sans MT"/>
      <family val="2"/>
      <scheme val="minor"/>
    </font>
    <font>
      <b/>
      <sz val="18"/>
      <color indexed="10"/>
      <name val="Gill Sans MT"/>
      <family val="2"/>
      <scheme val="minor"/>
    </font>
    <font>
      <b/>
      <sz val="20"/>
      <color theme="6"/>
      <name val="Gill Sans MT"/>
      <family val="2"/>
      <scheme val="minor"/>
    </font>
    <font>
      <b/>
      <sz val="16"/>
      <color theme="6"/>
      <name val="Gill Sans MT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2">
    <border>
      <left/>
      <right/>
      <top/>
      <bottom/>
      <diagonal/>
    </border>
    <border>
      <left style="thick">
        <color indexed="8"/>
      </left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ck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ck">
        <color indexed="8"/>
      </right>
      <top/>
      <bottom style="thin">
        <color indexed="64"/>
      </bottom>
      <diagonal/>
    </border>
    <border>
      <left style="thick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ck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/>
      <right/>
      <top/>
      <bottom style="medium">
        <color indexed="64"/>
      </bottom>
      <diagonal/>
    </border>
    <border>
      <left style="thick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ck">
        <color indexed="8"/>
      </right>
      <top/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1" fillId="2" borderId="21" xfId="0" applyFont="1" applyFill="1" applyBorder="1"/>
    <xf numFmtId="0" fontId="1" fillId="2" borderId="11" xfId="0" applyFont="1" applyFill="1" applyBorder="1"/>
    <xf numFmtId="0" fontId="1" fillId="2" borderId="22" xfId="0" applyFont="1" applyFill="1" applyBorder="1"/>
    <xf numFmtId="0" fontId="2" fillId="2" borderId="23" xfId="0" applyFont="1" applyFill="1" applyBorder="1"/>
    <xf numFmtId="0" fontId="2" fillId="2" borderId="15" xfId="0" applyFont="1" applyFill="1" applyBorder="1"/>
    <xf numFmtId="0" fontId="2" fillId="2" borderId="24" xfId="0" applyFont="1" applyFill="1" applyBorder="1"/>
    <xf numFmtId="0" fontId="2" fillId="2" borderId="21" xfId="0" applyFont="1" applyFill="1" applyBorder="1"/>
    <xf numFmtId="0" fontId="2" fillId="2" borderId="11" xfId="0" applyFont="1" applyFill="1" applyBorder="1"/>
    <xf numFmtId="0" fontId="2" fillId="2" borderId="22" xfId="0" applyFont="1" applyFill="1" applyBorder="1"/>
    <xf numFmtId="0" fontId="2" fillId="0" borderId="0" xfId="0" applyFont="1" applyFill="1" applyAlignment="1">
      <alignment horizontal="center" wrapText="1"/>
    </xf>
    <xf numFmtId="8" fontId="2" fillId="0" borderId="0" xfId="0" applyNumberFormat="1" applyFont="1" applyFill="1"/>
    <xf numFmtId="0" fontId="6" fillId="0" borderId="1" xfId="0" applyFont="1" applyFill="1" applyBorder="1" applyAlignment="1"/>
    <xf numFmtId="0" fontId="7" fillId="0" borderId="0" xfId="0" applyFont="1" applyFill="1" applyBorder="1"/>
    <xf numFmtId="0" fontId="6" fillId="0" borderId="2" xfId="0" applyFont="1" applyFill="1" applyBorder="1" applyAlignment="1" applyProtection="1">
      <alignment horizontal="right"/>
      <protection locked="0"/>
    </xf>
    <xf numFmtId="0" fontId="6" fillId="0" borderId="1" xfId="0" applyFont="1" applyFill="1" applyBorder="1"/>
    <xf numFmtId="8" fontId="6" fillId="0" borderId="2" xfId="0" applyNumberFormat="1" applyFont="1" applyFill="1" applyBorder="1" applyProtection="1">
      <protection locked="0"/>
    </xf>
    <xf numFmtId="10" fontId="6" fillId="0" borderId="2" xfId="0" applyNumberFormat="1" applyFont="1" applyFill="1" applyBorder="1" applyProtection="1">
      <protection locked="0"/>
    </xf>
    <xf numFmtId="37" fontId="6" fillId="0" borderId="2" xfId="0" applyNumberFormat="1" applyFont="1" applyFill="1" applyBorder="1" applyProtection="1">
      <protection locked="0"/>
    </xf>
    <xf numFmtId="8" fontId="6" fillId="0" borderId="3" xfId="0" applyNumberFormat="1" applyFont="1" applyFill="1" applyBorder="1"/>
    <xf numFmtId="0" fontId="6" fillId="0" borderId="4" xfId="0" applyFont="1" applyFill="1" applyBorder="1"/>
    <xf numFmtId="8" fontId="6" fillId="0" borderId="5" xfId="0" applyNumberFormat="1" applyFont="1" applyFill="1" applyBorder="1"/>
    <xf numFmtId="0" fontId="7" fillId="0" borderId="1" xfId="0" applyFont="1" applyFill="1" applyBorder="1"/>
    <xf numFmtId="0" fontId="7" fillId="0" borderId="3" xfId="0" applyFont="1" applyFill="1" applyBorder="1"/>
    <xf numFmtId="0" fontId="6" fillId="0" borderId="12" xfId="0" applyFont="1" applyFill="1" applyBorder="1" applyAlignment="1">
      <alignment horizontal="center" wrapText="1"/>
    </xf>
    <xf numFmtId="0" fontId="6" fillId="0" borderId="13" xfId="0" applyFont="1" applyFill="1" applyBorder="1" applyAlignment="1">
      <alignment horizontal="center" wrapText="1"/>
    </xf>
    <xf numFmtId="0" fontId="6" fillId="0" borderId="14" xfId="0" applyFont="1" applyFill="1" applyBorder="1" applyAlignment="1">
      <alignment horizontal="center" wrapText="1"/>
    </xf>
    <xf numFmtId="0" fontId="6" fillId="0" borderId="6" xfId="0" applyFont="1" applyFill="1" applyBorder="1" applyAlignment="1">
      <alignment horizontal="center"/>
    </xf>
    <xf numFmtId="8" fontId="6" fillId="0" borderId="7" xfId="0" applyNumberFormat="1" applyFont="1" applyFill="1" applyBorder="1"/>
    <xf numFmtId="40" fontId="6" fillId="0" borderId="7" xfId="0" applyNumberFormat="1" applyFont="1" applyFill="1" applyBorder="1"/>
    <xf numFmtId="40" fontId="6" fillId="0" borderId="3" xfId="0" applyNumberFormat="1" applyFont="1" applyFill="1" applyBorder="1"/>
    <xf numFmtId="0" fontId="6" fillId="0" borderId="8" xfId="0" applyFont="1" applyFill="1" applyBorder="1" applyAlignment="1">
      <alignment horizontal="center"/>
    </xf>
    <xf numFmtId="40" fontId="6" fillId="0" borderId="9" xfId="0" applyNumberFormat="1" applyFont="1" applyFill="1" applyBorder="1"/>
    <xf numFmtId="40" fontId="6" fillId="0" borderId="10" xfId="0" applyNumberFormat="1" applyFont="1" applyFill="1" applyBorder="1"/>
    <xf numFmtId="0" fontId="2" fillId="3" borderId="26" xfId="0" applyFont="1" applyFill="1" applyBorder="1" applyAlignment="1"/>
    <xf numFmtId="0" fontId="2" fillId="3" borderId="15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2" fillId="3" borderId="0" xfId="0" applyFont="1" applyFill="1" applyBorder="1"/>
    <xf numFmtId="0" fontId="2" fillId="3" borderId="29" xfId="0" applyFont="1" applyFill="1" applyBorder="1"/>
    <xf numFmtId="0" fontId="2" fillId="3" borderId="30" xfId="0" applyFont="1" applyFill="1" applyBorder="1"/>
    <xf numFmtId="0" fontId="2" fillId="3" borderId="11" xfId="0" applyFont="1" applyFill="1" applyBorder="1"/>
    <xf numFmtId="0" fontId="2" fillId="3" borderId="31" xfId="0" applyFont="1" applyFill="1" applyBorder="1"/>
    <xf numFmtId="0" fontId="6" fillId="0" borderId="1" xfId="0" applyFont="1" applyFill="1" applyBorder="1" applyAlignment="1">
      <alignment horizontal="center"/>
    </xf>
    <xf numFmtId="0" fontId="6" fillId="0" borderId="2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  <color indexed="9"/>
        <name val="Gill Sans MT"/>
        <scheme val="none"/>
      </font>
      <fill>
        <patternFill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152400</xdr:rowOff>
        </xdr:from>
        <xdr:to>
          <xdr:col>11</xdr:col>
          <xdr:colOff>9525</xdr:colOff>
          <xdr:row>6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11</xdr:row>
          <xdr:rowOff>0</xdr:rowOff>
        </xdr:from>
        <xdr:to>
          <xdr:col>10</xdr:col>
          <xdr:colOff>581025</xdr:colOff>
          <xdr:row>11</xdr:row>
          <xdr:rowOff>190500</xdr:rowOff>
        </xdr:to>
        <xdr:sp macro="" textlink="">
          <xdr:nvSpPr>
            <xdr:cNvPr id="1026" name="scrEmployeeInve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13</xdr:row>
          <xdr:rowOff>447675</xdr:rowOff>
        </xdr:from>
        <xdr:to>
          <xdr:col>10</xdr:col>
          <xdr:colOff>533400</xdr:colOff>
          <xdr:row>15</xdr:row>
          <xdr:rowOff>0</xdr:rowOff>
        </xdr:to>
        <xdr:sp macro="" textlink="">
          <xdr:nvSpPr>
            <xdr:cNvPr id="1027" name="scrEmployerMatc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15</xdr:row>
          <xdr:rowOff>171450</xdr:rowOff>
        </xdr:from>
        <xdr:to>
          <xdr:col>10</xdr:col>
          <xdr:colOff>180975</xdr:colOff>
          <xdr:row>17</xdr:row>
          <xdr:rowOff>104775</xdr:rowOff>
        </xdr:to>
        <xdr:sp macro="" textlink="">
          <xdr:nvSpPr>
            <xdr:cNvPr id="1029" name="chkEmployerMatc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18</xdr:row>
          <xdr:rowOff>0</xdr:rowOff>
        </xdr:from>
        <xdr:to>
          <xdr:col>11</xdr:col>
          <xdr:colOff>190500</xdr:colOff>
          <xdr:row>19</xdr:row>
          <xdr:rowOff>66675</xdr:rowOff>
        </xdr:to>
        <xdr:sp macro="" textlink="">
          <xdr:nvSpPr>
            <xdr:cNvPr id="1030" name="spnAnnualRetur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21</xdr:row>
          <xdr:rowOff>57150</xdr:rowOff>
        </xdr:from>
        <xdr:to>
          <xdr:col>11</xdr:col>
          <xdr:colOff>190500</xdr:colOff>
          <xdr:row>22</xdr:row>
          <xdr:rowOff>142875</xdr:rowOff>
        </xdr:to>
        <xdr:sp macro="" textlink="">
          <xdr:nvSpPr>
            <xdr:cNvPr id="1031" name="spnYearsofServic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8</xdr:row>
          <xdr:rowOff>161925</xdr:rowOff>
        </xdr:from>
        <xdr:to>
          <xdr:col>11</xdr:col>
          <xdr:colOff>257175</xdr:colOff>
          <xdr:row>10</xdr:row>
          <xdr:rowOff>28575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13</xdr:row>
          <xdr:rowOff>171450</xdr:rowOff>
        </xdr:from>
        <xdr:to>
          <xdr:col>10</xdr:col>
          <xdr:colOff>409575</xdr:colOff>
          <xdr:row>13</xdr:row>
          <xdr:rowOff>400050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10</xdr:row>
          <xdr:rowOff>9525</xdr:rowOff>
        </xdr:from>
        <xdr:to>
          <xdr:col>7</xdr:col>
          <xdr:colOff>438150</xdr:colOff>
          <xdr:row>11</xdr:row>
          <xdr:rowOff>190500</xdr:rowOff>
        </xdr:to>
        <xdr:sp macro="" textlink="">
          <xdr:nvSpPr>
            <xdr:cNvPr id="1034" name="Label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10</xdr:row>
          <xdr:rowOff>9525</xdr:rowOff>
        </xdr:from>
        <xdr:to>
          <xdr:col>11</xdr:col>
          <xdr:colOff>238125</xdr:colOff>
          <xdr:row>11</xdr:row>
          <xdr:rowOff>190500</xdr:rowOff>
        </xdr:to>
        <xdr:sp macro="" textlink="">
          <xdr:nvSpPr>
            <xdr:cNvPr id="1035" name="Label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438150</xdr:rowOff>
        </xdr:from>
        <xdr:to>
          <xdr:col>7</xdr:col>
          <xdr:colOff>409575</xdr:colOff>
          <xdr:row>14</xdr:row>
          <xdr:rowOff>180975</xdr:rowOff>
        </xdr:to>
        <xdr:sp macro="" textlink="">
          <xdr:nvSpPr>
            <xdr:cNvPr id="1036" name="Label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428625</xdr:rowOff>
        </xdr:from>
        <xdr:to>
          <xdr:col>11</xdr:col>
          <xdr:colOff>161925</xdr:colOff>
          <xdr:row>14</xdr:row>
          <xdr:rowOff>180975</xdr:rowOff>
        </xdr:to>
        <xdr:sp macro="" textlink="">
          <xdr:nvSpPr>
            <xdr:cNvPr id="1037" name="Label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17</xdr:row>
          <xdr:rowOff>161925</xdr:rowOff>
        </xdr:from>
        <xdr:to>
          <xdr:col>9</xdr:col>
          <xdr:colOff>352425</xdr:colOff>
          <xdr:row>20</xdr:row>
          <xdr:rowOff>57150</xdr:rowOff>
        </xdr:to>
        <xdr:sp macro="" textlink="">
          <xdr:nvSpPr>
            <xdr:cNvPr id="1038" name="Label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20</xdr:row>
          <xdr:rowOff>161925</xdr:rowOff>
        </xdr:from>
        <xdr:to>
          <xdr:col>9</xdr:col>
          <xdr:colOff>419100</xdr:colOff>
          <xdr:row>23</xdr:row>
          <xdr:rowOff>57150</xdr:rowOff>
        </xdr:to>
        <xdr:sp macro="" textlink="">
          <xdr:nvSpPr>
            <xdr:cNvPr id="1039" name="Label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18</xdr:row>
          <xdr:rowOff>38100</xdr:rowOff>
        </xdr:from>
        <xdr:to>
          <xdr:col>10</xdr:col>
          <xdr:colOff>504825</xdr:colOff>
          <xdr:row>19</xdr:row>
          <xdr:rowOff>76200</xdr:rowOff>
        </xdr:to>
        <xdr:sp macro="" textlink="">
          <xdr:nvSpPr>
            <xdr:cNvPr id="1040" name="lblAnnualRetur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21</xdr:row>
          <xdr:rowOff>85725</xdr:rowOff>
        </xdr:from>
        <xdr:to>
          <xdr:col>10</xdr:col>
          <xdr:colOff>457200</xdr:colOff>
          <xdr:row>22</xdr:row>
          <xdr:rowOff>114300</xdr:rowOff>
        </xdr:to>
        <xdr:sp macro="" textlink="">
          <xdr:nvSpPr>
            <xdr:cNvPr id="1041" name="lblYearsofServic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L65536"/>
  <sheetViews>
    <sheetView showGridLines="0" tabSelected="1" workbookViewId="0">
      <selection activeCell="M9" sqref="M9"/>
    </sheetView>
  </sheetViews>
  <sheetFormatPr defaultRowHeight="15" x14ac:dyDescent="0.3"/>
  <cols>
    <col min="1" max="1" width="0.7109375" style="2" customWidth="1"/>
    <col min="2" max="2" width="8" style="2" customWidth="1"/>
    <col min="3" max="3" width="14.42578125" style="2" bestFit="1" customWidth="1"/>
    <col min="4" max="6" width="14.42578125" style="2" customWidth="1"/>
    <col min="7" max="7" width="1" style="2" customWidth="1"/>
    <col min="8" max="11" width="9.140625" style="2"/>
    <col min="12" max="12" width="6.5703125" style="2" customWidth="1"/>
    <col min="13" max="16384" width="9.140625" style="2"/>
  </cols>
  <sheetData>
    <row r="1" spans="1:12" ht="2.25" customHeight="1" thickBot="1" x14ac:dyDescent="0.35">
      <c r="A1" s="1"/>
    </row>
    <row r="2" spans="1:12" ht="31.5" thickTop="1" x14ac:dyDescent="0.6">
      <c r="B2" s="49" t="s">
        <v>11</v>
      </c>
      <c r="C2" s="50"/>
      <c r="D2" s="50"/>
      <c r="E2" s="50"/>
      <c r="F2" s="51"/>
      <c r="H2" s="36"/>
      <c r="I2" s="37"/>
      <c r="J2" s="37"/>
      <c r="K2" s="37"/>
      <c r="L2" s="38"/>
    </row>
    <row r="3" spans="1:12" ht="22.5" customHeight="1" x14ac:dyDescent="0.55000000000000004">
      <c r="B3" s="52" t="s">
        <v>12</v>
      </c>
      <c r="C3" s="53"/>
      <c r="D3" s="53"/>
      <c r="E3" s="53"/>
      <c r="F3" s="54"/>
      <c r="H3" s="39"/>
      <c r="I3" s="40"/>
      <c r="J3" s="41"/>
      <c r="K3" s="42"/>
      <c r="L3" s="43"/>
    </row>
    <row r="4" spans="1:12" ht="3" customHeight="1" thickBot="1" x14ac:dyDescent="0.35">
      <c r="B4" s="3"/>
      <c r="C4" s="4"/>
      <c r="D4" s="4"/>
      <c r="E4" s="4"/>
      <c r="F4" s="5"/>
      <c r="H4" s="39"/>
      <c r="I4" s="42"/>
      <c r="J4" s="42"/>
      <c r="K4" s="42"/>
      <c r="L4" s="43"/>
    </row>
    <row r="5" spans="1:12" x14ac:dyDescent="0.3">
      <c r="B5" s="14" t="s">
        <v>13</v>
      </c>
      <c r="C5" s="15"/>
      <c r="D5" s="16" t="s">
        <v>17</v>
      </c>
      <c r="E5" s="47" t="s">
        <v>3</v>
      </c>
      <c r="F5" s="48"/>
      <c r="H5" s="39"/>
      <c r="I5" s="42"/>
      <c r="J5" s="42"/>
      <c r="K5" s="42"/>
      <c r="L5" s="43"/>
    </row>
    <row r="6" spans="1:12" x14ac:dyDescent="0.3">
      <c r="B6" s="17" t="s">
        <v>0</v>
      </c>
      <c r="C6" s="15"/>
      <c r="D6" s="18">
        <v>76850</v>
      </c>
      <c r="E6" s="17" t="s">
        <v>15</v>
      </c>
      <c r="F6" s="21">
        <f>Annual_Salary * Employee_Investment / 12</f>
        <v>16.010416666666668</v>
      </c>
      <c r="H6" s="39"/>
      <c r="I6" s="42"/>
      <c r="J6" s="42"/>
      <c r="K6" s="42"/>
      <c r="L6" s="43"/>
    </row>
    <row r="7" spans="1:12" x14ac:dyDescent="0.3">
      <c r="B7" s="17" t="s">
        <v>14</v>
      </c>
      <c r="C7" s="15"/>
      <c r="D7" s="19">
        <v>2.5000000000000001E-3</v>
      </c>
      <c r="E7" s="17" t="s">
        <v>7</v>
      </c>
      <c r="F7" s="21">
        <f>IF(Employee_Investment&lt;=Employer_Match, Employee_Investment*Annual_Salary/12,Employer_Match*Annual_Salary/12)</f>
        <v>16.010416666666668</v>
      </c>
      <c r="H7" s="39"/>
      <c r="I7" s="42"/>
      <c r="J7" s="42"/>
      <c r="K7" s="42"/>
      <c r="L7" s="43"/>
    </row>
    <row r="8" spans="1:12" x14ac:dyDescent="0.3">
      <c r="B8" s="17" t="s">
        <v>9</v>
      </c>
      <c r="C8" s="15"/>
      <c r="D8" s="19">
        <v>0.03</v>
      </c>
      <c r="E8" s="22" t="s">
        <v>8</v>
      </c>
      <c r="F8" s="23">
        <f>SUM(F6:F7)</f>
        <v>32.020833333333336</v>
      </c>
      <c r="H8" s="39"/>
      <c r="I8" s="42"/>
      <c r="J8" s="42"/>
      <c r="K8" s="42"/>
      <c r="L8" s="43"/>
    </row>
    <row r="9" spans="1:12" x14ac:dyDescent="0.3">
      <c r="B9" s="17" t="s">
        <v>10</v>
      </c>
      <c r="C9" s="15"/>
      <c r="D9" s="19">
        <v>7.4999999999999997E-2</v>
      </c>
      <c r="E9" s="24"/>
      <c r="F9" s="25"/>
      <c r="H9" s="39"/>
      <c r="I9" s="42"/>
      <c r="J9" s="42"/>
      <c r="K9" s="42"/>
      <c r="L9" s="43"/>
    </row>
    <row r="10" spans="1:12" ht="15.75" thickBot="1" x14ac:dyDescent="0.35">
      <c r="B10" s="17" t="s">
        <v>2</v>
      </c>
      <c r="C10" s="15"/>
      <c r="D10" s="20">
        <v>30</v>
      </c>
      <c r="E10" s="17" t="s">
        <v>4</v>
      </c>
      <c r="F10" s="21">
        <f>FV(Annual_Return/12, 12 *Years_of_Service, -Total)</f>
        <v>43146.325371893763</v>
      </c>
      <c r="H10" s="39"/>
      <c r="I10" s="42"/>
      <c r="J10" s="42"/>
      <c r="K10" s="42"/>
      <c r="L10" s="43"/>
    </row>
    <row r="11" spans="1:12" ht="3" customHeight="1" x14ac:dyDescent="0.3">
      <c r="B11" s="6"/>
      <c r="C11" s="7"/>
      <c r="D11" s="7"/>
      <c r="E11" s="7"/>
      <c r="F11" s="8"/>
      <c r="H11" s="39"/>
      <c r="I11" s="42"/>
      <c r="J11" s="42"/>
      <c r="K11" s="42"/>
      <c r="L11" s="43"/>
    </row>
    <row r="12" spans="1:12" ht="22.5" customHeight="1" x14ac:dyDescent="0.5">
      <c r="B12" s="52" t="s">
        <v>6</v>
      </c>
      <c r="C12" s="53"/>
      <c r="D12" s="53"/>
      <c r="E12" s="53"/>
      <c r="F12" s="54"/>
      <c r="H12" s="39"/>
      <c r="I12" s="42"/>
      <c r="J12" s="42"/>
      <c r="K12" s="42"/>
      <c r="L12" s="43"/>
    </row>
    <row r="13" spans="1:12" ht="2.25" customHeight="1" thickBot="1" x14ac:dyDescent="0.35">
      <c r="B13" s="9"/>
      <c r="C13" s="10"/>
      <c r="D13" s="10"/>
      <c r="E13" s="10"/>
      <c r="F13" s="11"/>
      <c r="H13" s="39"/>
      <c r="I13" s="42"/>
      <c r="J13" s="42"/>
      <c r="K13" s="42"/>
      <c r="L13" s="43"/>
    </row>
    <row r="14" spans="1:12" ht="36" customHeight="1" x14ac:dyDescent="0.3">
      <c r="B14" s="26" t="s">
        <v>2</v>
      </c>
      <c r="C14" s="27" t="s">
        <v>4</v>
      </c>
      <c r="D14" s="27" t="s">
        <v>16</v>
      </c>
      <c r="E14" s="27" t="s">
        <v>1</v>
      </c>
      <c r="F14" s="28" t="s">
        <v>5</v>
      </c>
      <c r="G14" s="12"/>
      <c r="H14" s="39"/>
      <c r="I14" s="42"/>
      <c r="J14" s="42"/>
      <c r="K14" s="42"/>
      <c r="L14" s="43"/>
    </row>
    <row r="15" spans="1:12" x14ac:dyDescent="0.3">
      <c r="B15" s="29"/>
      <c r="C15" s="30">
        <f>F10</f>
        <v>43146.325371893763</v>
      </c>
      <c r="D15" s="30">
        <f>12 * D10 * F6</f>
        <v>5763.75</v>
      </c>
      <c r="E15" s="30">
        <f>12 * D10 * F7</f>
        <v>5763.75</v>
      </c>
      <c r="F15" s="21">
        <f xml:space="preserve"> C15 - (D15 + E15)</f>
        <v>31618.825371893763</v>
      </c>
      <c r="H15" s="39"/>
      <c r="I15" s="42"/>
      <c r="J15" s="42"/>
      <c r="K15" s="42"/>
      <c r="L15" s="43"/>
    </row>
    <row r="16" spans="1:12" x14ac:dyDescent="0.3">
      <c r="B16" s="29">
        <v>5</v>
      </c>
      <c r="C16" s="31">
        <f t="dataTable" ref="C16:F24" dt2D="0" dtr="0" r1="D10"/>
        <v>2322.3783517365987</v>
      </c>
      <c r="D16" s="31">
        <v>960.62500000000011</v>
      </c>
      <c r="E16" s="31">
        <v>960.62500000000011</v>
      </c>
      <c r="F16" s="32">
        <v>401.12835173659846</v>
      </c>
      <c r="H16" s="39"/>
      <c r="I16" s="42"/>
      <c r="J16" s="42"/>
      <c r="K16" s="42"/>
      <c r="L16" s="43"/>
    </row>
    <row r="17" spans="2:12" x14ac:dyDescent="0.3">
      <c r="B17" s="29">
        <v>10</v>
      </c>
      <c r="C17" s="31">
        <v>5697.4778242177917</v>
      </c>
      <c r="D17" s="31">
        <v>1921.2500000000002</v>
      </c>
      <c r="E17" s="31">
        <v>1921.2500000000002</v>
      </c>
      <c r="F17" s="32">
        <v>1854.9778242177913</v>
      </c>
      <c r="H17" s="39"/>
      <c r="I17" s="42"/>
      <c r="J17" s="42"/>
      <c r="K17" s="42"/>
      <c r="L17" s="43"/>
    </row>
    <row r="18" spans="2:12" x14ac:dyDescent="0.3">
      <c r="B18" s="29">
        <v>15</v>
      </c>
      <c r="C18" s="31">
        <v>10602.491014951671</v>
      </c>
      <c r="D18" s="31">
        <v>2881.875</v>
      </c>
      <c r="E18" s="31">
        <v>2881.875</v>
      </c>
      <c r="F18" s="32">
        <v>4838.7410149516709</v>
      </c>
      <c r="H18" s="39"/>
      <c r="I18" s="42"/>
      <c r="J18" s="42"/>
      <c r="K18" s="42"/>
      <c r="L18" s="43"/>
    </row>
    <row r="19" spans="2:12" x14ac:dyDescent="0.3">
      <c r="B19" s="29">
        <v>20</v>
      </c>
      <c r="C19" s="31">
        <v>17730.919257567693</v>
      </c>
      <c r="D19" s="31">
        <v>3842.5000000000005</v>
      </c>
      <c r="E19" s="31">
        <v>3842.5000000000005</v>
      </c>
      <c r="F19" s="32">
        <v>10045.919257567693</v>
      </c>
      <c r="H19" s="39"/>
      <c r="I19" s="42"/>
      <c r="J19" s="42"/>
      <c r="K19" s="42"/>
      <c r="L19" s="43"/>
    </row>
    <row r="20" spans="2:12" x14ac:dyDescent="0.3">
      <c r="B20" s="29">
        <v>25</v>
      </c>
      <c r="C20" s="31">
        <v>28090.624162361826</v>
      </c>
      <c r="D20" s="31">
        <v>4803.125</v>
      </c>
      <c r="E20" s="31">
        <v>4803.125</v>
      </c>
      <c r="F20" s="32">
        <v>18484.374162361826</v>
      </c>
      <c r="H20" s="39"/>
      <c r="I20" s="42"/>
      <c r="J20" s="42"/>
      <c r="K20" s="42"/>
      <c r="L20" s="43"/>
    </row>
    <row r="21" spans="2:12" x14ac:dyDescent="0.3">
      <c r="B21" s="29">
        <v>30</v>
      </c>
      <c r="C21" s="31">
        <v>43146.325371893763</v>
      </c>
      <c r="D21" s="31">
        <v>5763.75</v>
      </c>
      <c r="E21" s="31">
        <v>5763.75</v>
      </c>
      <c r="F21" s="32">
        <v>31618.825371893763</v>
      </c>
      <c r="H21" s="39"/>
      <c r="I21" s="42"/>
      <c r="J21" s="42"/>
      <c r="K21" s="42"/>
      <c r="L21" s="43"/>
    </row>
    <row r="22" spans="2:12" x14ac:dyDescent="0.3">
      <c r="B22" s="29">
        <v>35</v>
      </c>
      <c r="C22" s="31">
        <v>65026.69175238828</v>
      </c>
      <c r="D22" s="31">
        <v>6724.3750000000009</v>
      </c>
      <c r="E22" s="31">
        <v>6724.3750000000009</v>
      </c>
      <c r="F22" s="32">
        <v>51577.94175238828</v>
      </c>
      <c r="H22" s="39"/>
      <c r="I22" s="42"/>
      <c r="J22" s="42"/>
      <c r="K22" s="42"/>
      <c r="L22" s="43"/>
    </row>
    <row r="23" spans="2:12" x14ac:dyDescent="0.3">
      <c r="B23" s="29">
        <v>40</v>
      </c>
      <c r="C23" s="31">
        <v>96825.305864202019</v>
      </c>
      <c r="D23" s="31">
        <v>7685.0000000000009</v>
      </c>
      <c r="E23" s="31">
        <v>7685.0000000000009</v>
      </c>
      <c r="F23" s="32">
        <v>81455.305864202019</v>
      </c>
      <c r="H23" s="39"/>
      <c r="I23" s="42"/>
      <c r="J23" s="42"/>
      <c r="K23" s="42"/>
      <c r="L23" s="43"/>
    </row>
    <row r="24" spans="2:12" ht="15.75" thickBot="1" x14ac:dyDescent="0.35">
      <c r="B24" s="33">
        <v>45</v>
      </c>
      <c r="C24" s="34">
        <v>143038.05394384317</v>
      </c>
      <c r="D24" s="34">
        <v>8645.625</v>
      </c>
      <c r="E24" s="34">
        <v>8645.625</v>
      </c>
      <c r="F24" s="35">
        <v>125746.80394384317</v>
      </c>
      <c r="H24" s="44"/>
      <c r="I24" s="45"/>
      <c r="J24" s="45"/>
      <c r="K24" s="45"/>
      <c r="L24" s="46"/>
    </row>
    <row r="25" spans="2:12" ht="15.75" thickTop="1" x14ac:dyDescent="0.3">
      <c r="C25" s="13"/>
    </row>
    <row r="65536" spans="3:3" x14ac:dyDescent="0.3">
      <c r="C65536" s="13"/>
    </row>
  </sheetData>
  <mergeCells count="4">
    <mergeCell ref="E5:F5"/>
    <mergeCell ref="B2:F2"/>
    <mergeCell ref="B3:F3"/>
    <mergeCell ref="B12:F12"/>
  </mergeCells>
  <phoneticPr fontId="0" type="noConversion"/>
  <conditionalFormatting sqref="B16:B24">
    <cfRule type="cellIs" dxfId="0" priority="1" operator="equal">
      <formula>$D$10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1" r:id="rId4" name="lblYearsofService">
          <controlPr autoLine="0" r:id="rId5">
            <anchor moveWithCells="1">
              <from>
                <xdr:col>10</xdr:col>
                <xdr:colOff>257175</xdr:colOff>
                <xdr:row>21</xdr:row>
                <xdr:rowOff>85725</xdr:rowOff>
              </from>
              <to>
                <xdr:col>10</xdr:col>
                <xdr:colOff>457200</xdr:colOff>
                <xdr:row>22</xdr:row>
                <xdr:rowOff>114300</xdr:rowOff>
              </to>
            </anchor>
          </controlPr>
        </control>
      </mc:Choice>
      <mc:Fallback>
        <control shapeId="1041" r:id="rId4" name="lblYearsofService"/>
      </mc:Fallback>
    </mc:AlternateContent>
    <mc:AlternateContent xmlns:mc="http://schemas.openxmlformats.org/markup-compatibility/2006">
      <mc:Choice Requires="x14">
        <control shapeId="1040" r:id="rId6" name="lblAnnualReturn">
          <controlPr autoLine="0" r:id="rId7">
            <anchor moveWithCells="1">
              <from>
                <xdr:col>10</xdr:col>
                <xdr:colOff>295275</xdr:colOff>
                <xdr:row>18</xdr:row>
                <xdr:rowOff>38100</xdr:rowOff>
              </from>
              <to>
                <xdr:col>10</xdr:col>
                <xdr:colOff>504825</xdr:colOff>
                <xdr:row>19</xdr:row>
                <xdr:rowOff>76200</xdr:rowOff>
              </to>
            </anchor>
          </controlPr>
        </control>
      </mc:Choice>
      <mc:Fallback>
        <control shapeId="1040" r:id="rId6" name="lblAnnualReturn"/>
      </mc:Fallback>
    </mc:AlternateContent>
    <mc:AlternateContent xmlns:mc="http://schemas.openxmlformats.org/markup-compatibility/2006">
      <mc:Choice Requires="x14">
        <control shapeId="1039" r:id="rId8" name="Label8">
          <controlPr autoLine="0" r:id="rId9">
            <anchor moveWithCells="1">
              <from>
                <xdr:col>7</xdr:col>
                <xdr:colOff>361950</xdr:colOff>
                <xdr:row>20</xdr:row>
                <xdr:rowOff>161925</xdr:rowOff>
              </from>
              <to>
                <xdr:col>9</xdr:col>
                <xdr:colOff>419100</xdr:colOff>
                <xdr:row>23</xdr:row>
                <xdr:rowOff>57150</xdr:rowOff>
              </to>
            </anchor>
          </controlPr>
        </control>
      </mc:Choice>
      <mc:Fallback>
        <control shapeId="1039" r:id="rId8" name="Label8"/>
      </mc:Fallback>
    </mc:AlternateContent>
    <mc:AlternateContent xmlns:mc="http://schemas.openxmlformats.org/markup-compatibility/2006">
      <mc:Choice Requires="x14">
        <control shapeId="1038" r:id="rId10" name="Label7">
          <controlPr autoLine="0" r:id="rId11">
            <anchor moveWithCells="1">
              <from>
                <xdr:col>7</xdr:col>
                <xdr:colOff>390525</xdr:colOff>
                <xdr:row>17</xdr:row>
                <xdr:rowOff>161925</xdr:rowOff>
              </from>
              <to>
                <xdr:col>9</xdr:col>
                <xdr:colOff>352425</xdr:colOff>
                <xdr:row>20</xdr:row>
                <xdr:rowOff>57150</xdr:rowOff>
              </to>
            </anchor>
          </controlPr>
        </control>
      </mc:Choice>
      <mc:Fallback>
        <control shapeId="1038" r:id="rId10" name="Label7"/>
      </mc:Fallback>
    </mc:AlternateContent>
    <mc:AlternateContent xmlns:mc="http://schemas.openxmlformats.org/markup-compatibility/2006">
      <mc:Choice Requires="x14">
        <control shapeId="1037" r:id="rId12" name="Label6">
          <controlPr autoLine="0" r:id="rId13">
            <anchor moveWithCells="1">
              <from>
                <xdr:col>11</xdr:col>
                <xdr:colOff>0</xdr:colOff>
                <xdr:row>13</xdr:row>
                <xdr:rowOff>428625</xdr:rowOff>
              </from>
              <to>
                <xdr:col>11</xdr:col>
                <xdr:colOff>161925</xdr:colOff>
                <xdr:row>14</xdr:row>
                <xdr:rowOff>180975</xdr:rowOff>
              </to>
            </anchor>
          </controlPr>
        </control>
      </mc:Choice>
      <mc:Fallback>
        <control shapeId="1037" r:id="rId12" name="Label6"/>
      </mc:Fallback>
    </mc:AlternateContent>
    <mc:AlternateContent xmlns:mc="http://schemas.openxmlformats.org/markup-compatibility/2006">
      <mc:Choice Requires="x14">
        <control shapeId="1036" r:id="rId14" name="Label5">
          <controlPr autoLine="0" r:id="rId15">
            <anchor moveWithCells="1">
              <from>
                <xdr:col>7</xdr:col>
                <xdr:colOff>228600</xdr:colOff>
                <xdr:row>13</xdr:row>
                <xdr:rowOff>438150</xdr:rowOff>
              </from>
              <to>
                <xdr:col>7</xdr:col>
                <xdr:colOff>409575</xdr:colOff>
                <xdr:row>14</xdr:row>
                <xdr:rowOff>180975</xdr:rowOff>
              </to>
            </anchor>
          </controlPr>
        </control>
      </mc:Choice>
      <mc:Fallback>
        <control shapeId="1036" r:id="rId14" name="Label5"/>
      </mc:Fallback>
    </mc:AlternateContent>
    <mc:AlternateContent xmlns:mc="http://schemas.openxmlformats.org/markup-compatibility/2006">
      <mc:Choice Requires="x14">
        <control shapeId="1035" r:id="rId16" name="Label4">
          <controlPr autoLine="0" r:id="rId17">
            <anchor moveWithCells="1">
              <from>
                <xdr:col>11</xdr:col>
                <xdr:colOff>19050</xdr:colOff>
                <xdr:row>10</xdr:row>
                <xdr:rowOff>9525</xdr:rowOff>
              </from>
              <to>
                <xdr:col>11</xdr:col>
                <xdr:colOff>238125</xdr:colOff>
                <xdr:row>11</xdr:row>
                <xdr:rowOff>190500</xdr:rowOff>
              </to>
            </anchor>
          </controlPr>
        </control>
      </mc:Choice>
      <mc:Fallback>
        <control shapeId="1035" r:id="rId16" name="Label4"/>
      </mc:Fallback>
    </mc:AlternateContent>
    <mc:AlternateContent xmlns:mc="http://schemas.openxmlformats.org/markup-compatibility/2006">
      <mc:Choice Requires="x14">
        <control shapeId="1034" r:id="rId18" name="Label3">
          <controlPr autoLine="0" r:id="rId19">
            <anchor moveWithCells="1">
              <from>
                <xdr:col>7</xdr:col>
                <xdr:colOff>276225</xdr:colOff>
                <xdr:row>10</xdr:row>
                <xdr:rowOff>9525</xdr:rowOff>
              </from>
              <to>
                <xdr:col>7</xdr:col>
                <xdr:colOff>438150</xdr:colOff>
                <xdr:row>11</xdr:row>
                <xdr:rowOff>190500</xdr:rowOff>
              </to>
            </anchor>
          </controlPr>
        </control>
      </mc:Choice>
      <mc:Fallback>
        <control shapeId="1034" r:id="rId18" name="Label3"/>
      </mc:Fallback>
    </mc:AlternateContent>
    <mc:AlternateContent xmlns:mc="http://schemas.openxmlformats.org/markup-compatibility/2006">
      <mc:Choice Requires="x14">
        <control shapeId="1033" r:id="rId20" name="Label2">
          <controlPr autoLine="0" r:id="rId21">
            <anchor moveWithCells="1">
              <from>
                <xdr:col>8</xdr:col>
                <xdr:colOff>66675</xdr:colOff>
                <xdr:row>13</xdr:row>
                <xdr:rowOff>171450</xdr:rowOff>
              </from>
              <to>
                <xdr:col>10</xdr:col>
                <xdr:colOff>409575</xdr:colOff>
                <xdr:row>13</xdr:row>
                <xdr:rowOff>400050</xdr:rowOff>
              </to>
            </anchor>
          </controlPr>
        </control>
      </mc:Choice>
      <mc:Fallback>
        <control shapeId="1033" r:id="rId20" name="Label2"/>
      </mc:Fallback>
    </mc:AlternateContent>
    <mc:AlternateContent xmlns:mc="http://schemas.openxmlformats.org/markup-compatibility/2006">
      <mc:Choice Requires="x14">
        <control shapeId="1032" r:id="rId22" name="Label1">
          <controlPr autoLine="0" r:id="rId23">
            <anchor moveWithCells="1">
              <from>
                <xdr:col>7</xdr:col>
                <xdr:colOff>161925</xdr:colOff>
                <xdr:row>8</xdr:row>
                <xdr:rowOff>161925</xdr:rowOff>
              </from>
              <to>
                <xdr:col>11</xdr:col>
                <xdr:colOff>257175</xdr:colOff>
                <xdr:row>10</xdr:row>
                <xdr:rowOff>28575</xdr:rowOff>
              </to>
            </anchor>
          </controlPr>
        </control>
      </mc:Choice>
      <mc:Fallback>
        <control shapeId="1032" r:id="rId22" name="Label1"/>
      </mc:Fallback>
    </mc:AlternateContent>
    <mc:AlternateContent xmlns:mc="http://schemas.openxmlformats.org/markup-compatibility/2006">
      <mc:Choice Requires="x14">
        <control shapeId="1031" r:id="rId24" name="spnYearsofService">
          <controlPr defaultSize="0" autoLine="0" r:id="rId25">
            <anchor moveWithCells="1">
              <from>
                <xdr:col>10</xdr:col>
                <xdr:colOff>571500</xdr:colOff>
                <xdr:row>21</xdr:row>
                <xdr:rowOff>57150</xdr:rowOff>
              </from>
              <to>
                <xdr:col>11</xdr:col>
                <xdr:colOff>190500</xdr:colOff>
                <xdr:row>22</xdr:row>
                <xdr:rowOff>142875</xdr:rowOff>
              </to>
            </anchor>
          </controlPr>
        </control>
      </mc:Choice>
      <mc:Fallback>
        <control shapeId="1031" r:id="rId24" name="spnYearsofService"/>
      </mc:Fallback>
    </mc:AlternateContent>
    <mc:AlternateContent xmlns:mc="http://schemas.openxmlformats.org/markup-compatibility/2006">
      <mc:Choice Requires="x14">
        <control shapeId="1030" r:id="rId26" name="spnAnnualReturn">
          <controlPr defaultSize="0" autoLine="0" r:id="rId27">
            <anchor moveWithCells="1">
              <from>
                <xdr:col>10</xdr:col>
                <xdr:colOff>581025</xdr:colOff>
                <xdr:row>18</xdr:row>
                <xdr:rowOff>0</xdr:rowOff>
              </from>
              <to>
                <xdr:col>11</xdr:col>
                <xdr:colOff>190500</xdr:colOff>
                <xdr:row>19</xdr:row>
                <xdr:rowOff>66675</xdr:rowOff>
              </to>
            </anchor>
          </controlPr>
        </control>
      </mc:Choice>
      <mc:Fallback>
        <control shapeId="1030" r:id="rId26" name="spnAnnualReturn"/>
      </mc:Fallback>
    </mc:AlternateContent>
    <mc:AlternateContent xmlns:mc="http://schemas.openxmlformats.org/markup-compatibility/2006">
      <mc:Choice Requires="x14">
        <control shapeId="1029" r:id="rId28" name="chkEmployerMatch">
          <controlPr defaultSize="0" autoLine="0" r:id="rId29">
            <anchor moveWithCells="1">
              <from>
                <xdr:col>7</xdr:col>
                <xdr:colOff>333375</xdr:colOff>
                <xdr:row>15</xdr:row>
                <xdr:rowOff>171450</xdr:rowOff>
              </from>
              <to>
                <xdr:col>10</xdr:col>
                <xdr:colOff>180975</xdr:colOff>
                <xdr:row>17</xdr:row>
                <xdr:rowOff>104775</xdr:rowOff>
              </to>
            </anchor>
          </controlPr>
        </control>
      </mc:Choice>
      <mc:Fallback>
        <control shapeId="1029" r:id="rId28" name="chkEmployerMatch"/>
      </mc:Fallback>
    </mc:AlternateContent>
    <mc:AlternateContent xmlns:mc="http://schemas.openxmlformats.org/markup-compatibility/2006">
      <mc:Choice Requires="x14">
        <control shapeId="1027" r:id="rId30" name="scrEmployerMatch">
          <controlPr defaultSize="0" autoLine="0" r:id="rId31">
            <anchor moveWithCells="1">
              <from>
                <xdr:col>7</xdr:col>
                <xdr:colOff>514350</xdr:colOff>
                <xdr:row>13</xdr:row>
                <xdr:rowOff>447675</xdr:rowOff>
              </from>
              <to>
                <xdr:col>10</xdr:col>
                <xdr:colOff>533400</xdr:colOff>
                <xdr:row>15</xdr:row>
                <xdr:rowOff>0</xdr:rowOff>
              </to>
            </anchor>
          </controlPr>
        </control>
      </mc:Choice>
      <mc:Fallback>
        <control shapeId="1027" r:id="rId30" name="scrEmployerMatch"/>
      </mc:Fallback>
    </mc:AlternateContent>
    <mc:AlternateContent xmlns:mc="http://schemas.openxmlformats.org/markup-compatibility/2006">
      <mc:Choice Requires="x14">
        <control shapeId="1026" r:id="rId32" name="scrEmployeeInvest">
          <controlPr defaultSize="0" autoLine="0" r:id="rId33">
            <anchor moveWithCells="1">
              <from>
                <xdr:col>7</xdr:col>
                <xdr:colOff>495300</xdr:colOff>
                <xdr:row>11</xdr:row>
                <xdr:rowOff>0</xdr:rowOff>
              </from>
              <to>
                <xdr:col>10</xdr:col>
                <xdr:colOff>581025</xdr:colOff>
                <xdr:row>11</xdr:row>
                <xdr:rowOff>190500</xdr:rowOff>
              </to>
            </anchor>
          </controlPr>
        </control>
      </mc:Choice>
      <mc:Fallback>
        <control shapeId="1026" r:id="rId32" name="scrEmployeeInvest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8</xdr:col>
                <xdr:colOff>9525</xdr:colOff>
                <xdr:row>4</xdr:row>
                <xdr:rowOff>152400</xdr:rowOff>
              </from>
              <to>
                <xdr:col>11</xdr:col>
                <xdr:colOff>9525</xdr:colOff>
                <xdr:row>6</xdr:row>
                <xdr:rowOff>104775</xdr:rowOff>
              </to>
            </anchor>
          </controlPr>
        </control>
      </mc:Choice>
      <mc:Fallback>
        <control shapeId="1025" r:id="rId3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401(k) Investment Model</vt:lpstr>
      <vt:lpstr>Annual_Return</vt:lpstr>
      <vt:lpstr>Annual_Salary</vt:lpstr>
      <vt:lpstr>Employee_Investment</vt:lpstr>
      <vt:lpstr>Employee_Name</vt:lpstr>
      <vt:lpstr>Employer_Match</vt:lpstr>
      <vt:lpstr>Total</vt:lpstr>
      <vt:lpstr>Years_of_Service</vt:lpstr>
    </vt:vector>
  </TitlesOfParts>
  <Company>Course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Caliber Steel</dc:title>
  <dc:creator>Jeff Quasney</dc:creator>
  <cp:lastModifiedBy>CASTILLO, MICAH A.</cp:lastModifiedBy>
  <cp:lastPrinted>2003-04-25T00:19:56Z</cp:lastPrinted>
  <dcterms:created xsi:type="dcterms:W3CDTF">2000-11-11T21:18:08Z</dcterms:created>
  <dcterms:modified xsi:type="dcterms:W3CDTF">2017-04-10T18:01:11Z</dcterms:modified>
</cp:coreProperties>
</file>